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IS" sheetId="2" state="visible" r:id="rId4"/>
    <sheet name="BS" sheetId="3" state="visible" r:id="rId5"/>
    <sheet name="CF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<sst xmlns="http://schemas.openxmlformats.org/spreadsheetml/2006/main" count="47" uniqueCount="40">
  <si>
    <t xml:space="preserve">Assumption</t>
  </si>
  <si>
    <t xml:space="preserve">Revenue growth</t>
  </si>
  <si>
    <t xml:space="preserve">COGS % revenue</t>
  </si>
  <si>
    <t xml:space="preserve">Opex</t>
  </si>
  <si>
    <t xml:space="preserve">Depreciation rate</t>
  </si>
  <si>
    <t xml:space="preserve">Interest rate</t>
  </si>
  <si>
    <t xml:space="preserve">Tax rate</t>
  </si>
  <si>
    <t xml:space="preserve">DSO (days)</t>
  </si>
  <si>
    <t xml:space="preserve">Capex</t>
  </si>
  <si>
    <t xml:space="preserve">Debt repayment</t>
  </si>
  <si>
    <t xml:space="preserve">Year</t>
  </si>
  <si>
    <t xml:space="preserve">Opex growth</t>
  </si>
  <si>
    <t xml:space="preserve">Income statement</t>
  </si>
  <si>
    <t xml:space="preserve">Revenue</t>
  </si>
  <si>
    <t xml:space="preserve">COGS</t>
  </si>
  <si>
    <t xml:space="preserve">Gross profit</t>
  </si>
  <si>
    <t xml:space="preserve">EBITDA</t>
  </si>
  <si>
    <t xml:space="preserve">Depreciation</t>
  </si>
  <si>
    <t xml:space="preserve">EBIT</t>
  </si>
  <si>
    <t xml:space="preserve">Interest</t>
  </si>
  <si>
    <t xml:space="preserve">Pre-tax income</t>
  </si>
  <si>
    <t xml:space="preserve">Tax</t>
  </si>
  <si>
    <t xml:space="preserve">Net income</t>
  </si>
  <si>
    <t xml:space="preserve">Average gross margin</t>
  </si>
  <si>
    <t xml:space="preserve">Revenue over 1,000</t>
  </si>
  <si>
    <t xml:space="preserve">Total revenue</t>
  </si>
  <si>
    <t xml:space="preserve">Balance sheet</t>
  </si>
  <si>
    <t xml:space="preserve">Cash</t>
  </si>
  <si>
    <t xml:space="preserve">Receivables</t>
  </si>
  <si>
    <t xml:space="preserve">PP&amp;E</t>
  </si>
  <si>
    <t xml:space="preserve">Total assets</t>
  </si>
  <si>
    <t xml:space="preserve">Debt</t>
  </si>
  <si>
    <t xml:space="preserve">Equity</t>
  </si>
  <si>
    <t xml:space="preserve">Total liabilities and equity</t>
  </si>
  <si>
    <t xml:space="preserve">Balance check</t>
  </si>
  <si>
    <t xml:space="preserve">Cash flow</t>
  </si>
  <si>
    <t xml:space="preserve">Increase in receivables</t>
  </si>
  <si>
    <t xml:space="preserve">Cash from operations</t>
  </si>
  <si>
    <t xml:space="preserve">Debt repaid</t>
  </si>
  <si>
    <t xml:space="preserve">Net change in cash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</si>
</sst>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2025</v>
      </c>
      <c r="C1" s="0" t="n">
        <v>2026</v>
      </c>
      <c r="D1" s="0" t="n">
        <v>2027</v>
      </c>
    </row>
    <row r="2" customFormat="false" ht="12.8" hidden="false" customHeight="false" outlineLevel="0" collapsed="false">
      <c r="A2" s="0" t="s">
        <v>1</v>
      </c>
      <c r="B2" s="1" t="n">
        <v>0.08</v>
      </c>
      <c r="C2" s="1" t="n">
        <v>0.07</v>
      </c>
      <c r="D2" s="1" t="n">
        <v>0.06</v>
      </c>
    </row>
    <row r="3" customFormat="false" ht="12.8" hidden="false" customHeight="false" outlineLevel="0" collapsed="false">
      <c r="A3" s="0" t="s">
        <v>2</v>
      </c>
      <c r="B3" s="1" t="n">
        <v>0.55</v>
      </c>
      <c r="C3" s="1" t="n">
        <v>0.54</v>
      </c>
      <c r="D3" s="1" t="n">
        <v>0.53</v>
      </c>
    </row>
    <row r="5" customFormat="false" ht="12.8" hidden="false" customHeight="false" outlineLevel="0" collapsed="false">
      <c r="A5" s="0" t="s">
        <v>3</v>
      </c>
      <c r="B5" s="2" t="n">
        <v>120</v>
      </c>
    </row>
    <row r="6" customFormat="false" ht="12.8" hidden="false" customHeight="false" outlineLevel="0" collapsed="false">
      <c r="A6" s="0" t="s">
        <v>4</v>
      </c>
      <c r="B6" s="1" t="n">
        <v>0.1</v>
      </c>
    </row>
    <row r="7" customFormat="false" ht="12.8" hidden="false" customHeight="false" outlineLevel="0" collapsed="false">
      <c r="A7" s="0" t="s">
        <v>5</v>
      </c>
      <c r="B7" s="1" t="n">
        <v>0.06</v>
      </c>
    </row>
    <row r="8" customFormat="false" ht="12.8" hidden="false" customHeight="false" outlineLevel="0" collapsed="false">
      <c r="A8" s="0" t="s">
        <v>6</v>
      </c>
      <c r="B8" s="1" t="n">
        <v>0.21</v>
      </c>
    </row>
    <row r="9" customFormat="false" ht="12.8" hidden="false" customHeight="false" outlineLevel="0" collapsed="false">
      <c r="A9" s="0" t="s">
        <v>7</v>
      </c>
      <c r="B9" s="0" t="n">
        <v>45</v>
      </c>
    </row>
    <row r="10" customFormat="false" ht="12.8" hidden="false" customHeight="false" outlineLevel="0" collapsed="false">
      <c r="A10" s="0" t="s">
        <v>8</v>
      </c>
      <c r="B10" s="2" t="n">
        <v>60</v>
      </c>
    </row>
    <row r="11" customFormat="false" ht="12.8" hidden="false" customHeight="false" outlineLevel="0" collapsed="false">
      <c r="A11" s="0" t="s">
        <v>9</v>
      </c>
      <c r="B11" s="2" t="n">
        <v>25</v>
      </c>
    </row>
    <row r="13" customFormat="false" ht="12.8" hidden="false" customHeight="false" outlineLevel="0" collapsed="false">
      <c r="A13" s="0" t="s">
        <v>10</v>
      </c>
      <c r="B13" s="0" t="s">
        <v>11</v>
      </c>
    </row>
    <row r="14" customFormat="false" ht="12.8" hidden="false" customHeight="false" outlineLevel="0" collapsed="false">
      <c r="A14" s="0" t="n">
        <v>2025</v>
      </c>
      <c r="B14" s="1" t="n">
        <v>0.03</v>
      </c>
    </row>
    <row r="15" customFormat="false" ht="12.8" hidden="false" customHeight="false" outlineLevel="0" collapsed="false">
      <c r="A15" s="0" t="n">
        <v>2026</v>
      </c>
      <c r="B15" s="1" t="n">
        <v>0.04</v>
      </c>
    </row>
    <row r="16" customFormat="false" ht="12.8" hidden="false" customHeight="false" outlineLevel="0" collapsed="false">
      <c r="A16" s="0" t="n">
        <v>2027</v>
      </c>
      <c r="B16" s="1" t="n">
        <v>0.05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12</v>
      </c>
    </row>
    <row r="2" customFormat="false" ht="12.8" hidden="false" customHeight="false" outlineLevel="0" collapsed="false">
      <c r="A2" s="0" t="s">
        <v>10</v>
      </c>
      <c r="B2" s="0" t="n">
        <v>2024</v>
      </c>
      <c r="C2" s="0" t="n">
        <f aca="false">B2+1</f>
        <v>2025</v>
      </c>
      <c r="D2" s="0" t="n">
        <f aca="false">C2+1</f>
        <v>2026</v>
      </c>
      <c r="E2" s="0" t="n">
        <f aca="false">D2+1</f>
        <v>2027</v>
      </c>
    </row>
    <row r="3" customFormat="false" ht="12.8" hidden="false" customHeight="false" outlineLevel="0" collapsed="false">
      <c r="A3" s="0" t="s">
        <v>13</v>
      </c>
      <c r="B3" s="2" t="n">
        <v>900</v>
      </c>
      <c r="C3" s="2" t="n">
        <f aca="false">B3*(1+INDEX(Inputs!$B$2:$D$2,MATCH(C$2,Inputs!$B$1:$D$1,0)))</f>
        <v>972</v>
      </c>
      <c r="D3" s="2" t="n">
        <f aca="false">C3*(1+INDEX(Inputs!$B$2:$D$2,MATCH(D$2,Inputs!$B$1:$D$1,0)))</f>
        <v>1040.04</v>
      </c>
      <c r="E3" s="2" t="n">
        <f aca="false">D3*(1+INDEX(Inputs!$B$2:$D$2,MATCH(E$2,Inputs!$B$1:$D$1,0)))</f>
        <v>1102.4424</v>
      </c>
    </row>
    <row r="4" customFormat="false" ht="12.8" hidden="false" customHeight="false" outlineLevel="0" collapsed="false">
      <c r="A4" s="0" t="s">
        <v>14</v>
      </c>
      <c r="C4" s="2" t="n">
        <f aca="false">C3*HLOOKUP(C$2,Inputs!$B$1:$D$3,3,FALSE())</f>
        <v>534.6</v>
      </c>
      <c r="D4" s="2" t="n">
        <f aca="false">D3*HLOOKUP(D$2,Inputs!$B$1:$D$3,3,FALSE())</f>
        <v>561.6216</v>
      </c>
      <c r="E4" s="2" t="n">
        <f aca="false">E3*HLOOKUP(E$2,Inputs!$B$1:$D$3,3,FALSE())</f>
        <v>584.294472</v>
      </c>
    </row>
    <row r="5" customFormat="false" ht="12.8" hidden="false" customHeight="false" outlineLevel="0" collapsed="false">
      <c r="A5" s="0" t="s">
        <v>15</v>
      </c>
      <c r="C5" s="2" t="n">
        <f aca="false">C3-C4</f>
        <v>437.4</v>
      </c>
      <c r="D5" s="2" t="n">
        <f aca="false">D3-D4</f>
        <v>478.4184</v>
      </c>
      <c r="E5" s="2" t="n">
        <f aca="false">E3-E4</f>
        <v>518.147928</v>
      </c>
    </row>
    <row r="6" customFormat="false" ht="12.8" hidden="false" customHeight="false" outlineLevel="0" collapsed="false">
      <c r="A6" s="0" t="s">
        <v>3</v>
      </c>
      <c r="C6" s="2" t="n">
        <f aca="false">Inputs!$B$5*(1+VLOOKUP(C$2,Inputs!A:B,2,FALSE()))</f>
        <v>123.6</v>
      </c>
      <c r="D6" s="2" t="n">
        <f aca="false">C6*(1+VLOOKUP(D$2,Inputs!A:B,2,FALSE()))</f>
        <v>128.544</v>
      </c>
      <c r="E6" s="2" t="n">
        <f aca="false">D6*(1+VLOOKUP(E$2,Inputs!A:B,2,FALSE()))</f>
        <v>134.9712</v>
      </c>
    </row>
    <row r="7" customFormat="false" ht="12.8" hidden="false" customHeight="false" outlineLevel="0" collapsed="false">
      <c r="A7" s="0" t="s">
        <v>16</v>
      </c>
      <c r="C7" s="2" t="n">
        <f aca="false">C5-C6</f>
        <v>313.8</v>
      </c>
      <c r="D7" s="2" t="n">
        <f aca="false">D5-D6</f>
        <v>349.8744</v>
      </c>
      <c r="E7" s="2" t="n">
        <f aca="false">E5-E6</f>
        <v>383.176728</v>
      </c>
    </row>
    <row r="8" customFormat="false" ht="12.8" hidden="false" customHeight="false" outlineLevel="0" collapsed="false">
      <c r="A8" s="0" t="s">
        <v>17</v>
      </c>
      <c r="C8" s="2" t="n">
        <f aca="false">BS!B5*Inputs!$B$6</f>
        <v>40</v>
      </c>
      <c r="D8" s="2" t="n">
        <f aca="false">BS!C5*Inputs!$B$6</f>
        <v>42</v>
      </c>
      <c r="E8" s="2" t="n">
        <f aca="false">BS!D5*Inputs!$B$6</f>
        <v>43.8</v>
      </c>
    </row>
    <row r="9" customFormat="false" ht="12.8" hidden="false" customHeight="false" outlineLevel="0" collapsed="false">
      <c r="A9" s="0" t="s">
        <v>18</v>
      </c>
      <c r="C9" s="2" t="n">
        <f aca="false">C7-C8</f>
        <v>273.8</v>
      </c>
      <c r="D9" s="2" t="n">
        <f aca="false">D7-D8</f>
        <v>307.8744</v>
      </c>
      <c r="E9" s="2" t="n">
        <f aca="false">E7-E8</f>
        <v>339.376728</v>
      </c>
    </row>
    <row r="10" customFormat="false" ht="12.8" hidden="false" customHeight="false" outlineLevel="0" collapsed="false">
      <c r="A10" s="0" t="s">
        <v>19</v>
      </c>
      <c r="C10" s="2" t="n">
        <f aca="false">BS!B7*Inputs!$B$7</f>
        <v>15</v>
      </c>
      <c r="D10" s="2" t="n">
        <f aca="false">BS!C7*Inputs!$B$7</f>
        <v>13.5</v>
      </c>
      <c r="E10" s="2" t="n">
        <f aca="false">BS!D7*Inputs!$B$7</f>
        <v>12</v>
      </c>
    </row>
    <row r="11" customFormat="false" ht="12.8" hidden="false" customHeight="false" outlineLevel="0" collapsed="false">
      <c r="A11" s="0" t="s">
        <v>20</v>
      </c>
      <c r="C11" s="2" t="n">
        <f aca="false">C9-C10</f>
        <v>258.8</v>
      </c>
      <c r="D11" s="2" t="n">
        <f aca="false">D9-D10</f>
        <v>294.3744</v>
      </c>
      <c r="E11" s="2" t="n">
        <f aca="false">E9-E10</f>
        <v>327.376728</v>
      </c>
    </row>
    <row r="12" customFormat="false" ht="12.8" hidden="false" customHeight="false" outlineLevel="0" collapsed="false">
      <c r="A12" s="0" t="s">
        <v>21</v>
      </c>
      <c r="C12" s="2" t="n">
        <f aca="false">MAX(0,C11*Inputs!$B$8)</f>
        <v>54.348</v>
      </c>
      <c r="D12" s="2" t="n">
        <f aca="false">MAX(0,D11*Inputs!$B$8)</f>
        <v>61.818624</v>
      </c>
      <c r="E12" s="2" t="n">
        <f aca="false">MAX(0,E11*Inputs!$B$8)</f>
        <v>68.74911288</v>
      </c>
    </row>
    <row r="13" customFormat="false" ht="12.8" hidden="false" customHeight="false" outlineLevel="0" collapsed="false">
      <c r="A13" s="0" t="s">
        <v>22</v>
      </c>
      <c r="C13" s="2" t="n">
        <f aca="false">C11-C12</f>
        <v>204.452</v>
      </c>
      <c r="D13" s="2" t="n">
        <f aca="false">D11-D12</f>
        <v>232.555776</v>
      </c>
      <c r="E13" s="2" t="n">
        <f aca="false">E11-E12</f>
        <v>258.62761512</v>
      </c>
    </row>
    <row r="15" customFormat="false" ht="12.8" hidden="false" customHeight="false" outlineLevel="0" collapsed="false">
      <c r="A15" s="0" t="s">
        <v>23</v>
      </c>
      <c r="B15" s="1" t="n">
        <f aca="false">SUMPRODUCT(C5:E5,1/C3:E3)/COUNT(C3:E3)</f>
        <v>0.46</v>
      </c>
    </row>
    <row r="16" customFormat="false" ht="12.8" hidden="false" customHeight="false" outlineLevel="0" collapsed="false">
      <c r="A16" s="0" t="s">
        <v>24</v>
      </c>
      <c r="B16" s="0" t="n">
        <f aca="false">COUNTIF(C3:E3,"&gt;1000")</f>
        <v>2</v>
      </c>
    </row>
    <row r="17" customFormat="false" ht="12.8" hidden="false" customHeight="false" outlineLevel="0" collapsed="false">
      <c r="A17" s="0" t="s">
        <v>25</v>
      </c>
      <c r="B17" s="2" t="n">
        <f aca="false">SUMIF(C2:E2,"&gt;=2026",C3:E3)</f>
        <v>2142.4824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26</v>
      </c>
    </row>
    <row r="2" customFormat="false" ht="12.8" hidden="false" customHeight="false" outlineLevel="0" collapsed="false">
      <c r="A2" s="0" t="s">
        <v>10</v>
      </c>
      <c r="B2" s="0" t="n">
        <v>2024</v>
      </c>
      <c r="C2" s="0" t="n">
        <f aca="false">B2+1</f>
        <v>2025</v>
      </c>
      <c r="D2" s="0" t="n">
        <f aca="false">C2+1</f>
        <v>2026</v>
      </c>
      <c r="E2" s="0" t="n">
        <f aca="false">D2+1</f>
        <v>2027</v>
      </c>
    </row>
    <row r="3" customFormat="false" ht="12.8" hidden="false" customHeight="false" outlineLevel="0" collapsed="false">
      <c r="A3" s="0" t="s">
        <v>27</v>
      </c>
      <c r="B3" s="2" t="n">
        <v>80</v>
      </c>
      <c r="C3" s="2" t="n">
        <f aca="false">B3+CF!C9</f>
        <v>229.616383561644</v>
      </c>
      <c r="D3" s="2" t="n">
        <f aca="false">C3+CF!D9</f>
        <v>410.783666410959</v>
      </c>
      <c r="E3" s="2" t="n">
        <f aca="false">D3+CF!E9</f>
        <v>620.517834955617</v>
      </c>
    </row>
    <row r="4" customFormat="false" ht="12.8" hidden="false" customHeight="false" outlineLevel="0" collapsed="false">
      <c r="A4" s="0" t="s">
        <v>28</v>
      </c>
      <c r="B4" s="2" t="n">
        <v>110</v>
      </c>
      <c r="C4" s="2" t="n">
        <f aca="false">IS!C3*Inputs!$B$9/365</f>
        <v>119.835616438356</v>
      </c>
      <c r="D4" s="2" t="n">
        <f aca="false">IS!D3*Inputs!$B$9/365</f>
        <v>128.224109589041</v>
      </c>
      <c r="E4" s="2" t="n">
        <f aca="false">IS!E3*Inputs!$B$9/365</f>
        <v>135.917556164384</v>
      </c>
    </row>
    <row r="5" customFormat="false" ht="12.8" hidden="false" customHeight="false" outlineLevel="0" collapsed="false">
      <c r="A5" s="0" t="s">
        <v>29</v>
      </c>
      <c r="B5" s="2" t="n">
        <v>400</v>
      </c>
      <c r="C5" s="2" t="n">
        <f aca="false">B5+Inputs!$B$10-IS!C8</f>
        <v>420</v>
      </c>
      <c r="D5" s="2" t="n">
        <f aca="false">C5+Inputs!$B$10-IS!D8</f>
        <v>438</v>
      </c>
      <c r="E5" s="2" t="n">
        <f aca="false">D5+Inputs!$B$10-IS!E8</f>
        <v>454.2</v>
      </c>
    </row>
    <row r="6" customFormat="false" ht="12.8" hidden="false" customHeight="false" outlineLevel="0" collapsed="false">
      <c r="A6" s="0" t="s">
        <v>30</v>
      </c>
      <c r="B6" s="2" t="n">
        <f aca="false">SUM(B3:B5)</f>
        <v>590</v>
      </c>
      <c r="C6" s="2" t="n">
        <f aca="false">SUM(C3:C5)</f>
        <v>769.452</v>
      </c>
      <c r="D6" s="2" t="n">
        <f aca="false">SUM(D3:D5)</f>
        <v>977.007776</v>
      </c>
      <c r="E6" s="2" t="n">
        <f aca="false">SUM(E3:E5)</f>
        <v>1210.63539112</v>
      </c>
    </row>
    <row r="7" customFormat="false" ht="12.8" hidden="false" customHeight="false" outlineLevel="0" collapsed="false">
      <c r="A7" s="0" t="s">
        <v>31</v>
      </c>
      <c r="B7" s="2" t="n">
        <v>250</v>
      </c>
      <c r="C7" s="2" t="n">
        <f aca="false">B7+CF!C8</f>
        <v>225</v>
      </c>
      <c r="D7" s="2" t="n">
        <f aca="false">C7+CF!D8</f>
        <v>200</v>
      </c>
      <c r="E7" s="2" t="n">
        <f aca="false">D7+CF!E8</f>
        <v>175</v>
      </c>
    </row>
    <row r="8" customFormat="false" ht="12.8" hidden="false" customHeight="false" outlineLevel="0" collapsed="false">
      <c r="A8" s="0" t="s">
        <v>32</v>
      </c>
      <c r="B8" s="2" t="n">
        <v>340</v>
      </c>
      <c r="C8" s="2" t="n">
        <f aca="false">B8+IS!C13</f>
        <v>544.452</v>
      </c>
      <c r="D8" s="2" t="n">
        <f aca="false">C8+IS!D13</f>
        <v>777.007776</v>
      </c>
      <c r="E8" s="2" t="n">
        <f aca="false">D8+IS!E13</f>
        <v>1035.63539112</v>
      </c>
    </row>
    <row r="9" customFormat="false" ht="12.8" hidden="false" customHeight="false" outlineLevel="0" collapsed="false">
      <c r="A9" s="0" t="s">
        <v>33</v>
      </c>
      <c r="B9" s="2" t="n">
        <f aca="false">B7+B8</f>
        <v>590</v>
      </c>
      <c r="C9" s="2" t="n">
        <f aca="false">C7+C8</f>
        <v>769.452</v>
      </c>
      <c r="D9" s="2" t="n">
        <f aca="false">D7+D8</f>
        <v>977.007776</v>
      </c>
      <c r="E9" s="2" t="n">
        <f aca="false">E7+E8</f>
        <v>1210.63539112</v>
      </c>
    </row>
    <row r="10" customFormat="false" ht="12.8" hidden="false" customHeight="false" outlineLevel="0" collapsed="false">
      <c r="A10" s="0" t="s">
        <v>34</v>
      </c>
      <c r="B10" s="0" t="n">
        <f aca="false">ROUND(B6-B9,6)</f>
        <v>0</v>
      </c>
      <c r="C10" s="0" t="n">
        <f aca="false">ROUND(C6-C9,6)</f>
        <v>0</v>
      </c>
      <c r="D10" s="0" t="n">
        <f aca="false">ROUND(D6-D9,6)</f>
        <v>0</v>
      </c>
      <c r="E10" s="0" t="n">
        <f aca="false">ROUND(E6-E9,6)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35</v>
      </c>
    </row>
    <row r="2" customFormat="false" ht="12.8" hidden="false" customHeight="false" outlineLevel="0" collapsed="false">
      <c r="A2" s="0" t="s">
        <v>10</v>
      </c>
      <c r="B2" s="0" t="n">
        <v>2024</v>
      </c>
      <c r="C2" s="0" t="n">
        <f aca="false">B2+1</f>
        <v>2025</v>
      </c>
      <c r="D2" s="0" t="n">
        <f aca="false">C2+1</f>
        <v>2026</v>
      </c>
      <c r="E2" s="0" t="n">
        <f aca="false">D2+1</f>
        <v>2027</v>
      </c>
    </row>
    <row r="3" customFormat="false" ht="12.8" hidden="false" customHeight="false" outlineLevel="0" collapsed="false">
      <c r="A3" s="0" t="s">
        <v>22</v>
      </c>
      <c r="C3" s="2" t="n">
        <f aca="false">IS!C13</f>
        <v>204.452</v>
      </c>
      <c r="D3" s="2" t="n">
        <f aca="false">IS!D13</f>
        <v>232.555776</v>
      </c>
      <c r="E3" s="2" t="n">
        <f aca="false">IS!E13</f>
        <v>258.62761512</v>
      </c>
    </row>
    <row r="4" customFormat="false" ht="12.8" hidden="false" customHeight="false" outlineLevel="0" collapsed="false">
      <c r="A4" s="0" t="s">
        <v>17</v>
      </c>
      <c r="C4" s="2" t="n">
        <f aca="false">IS!C8</f>
        <v>40</v>
      </c>
      <c r="D4" s="2" t="n">
        <f aca="false">IS!D8</f>
        <v>42</v>
      </c>
      <c r="E4" s="2" t="n">
        <f aca="false">IS!E8</f>
        <v>43.8</v>
      </c>
    </row>
    <row r="5" customFormat="false" ht="12.8" hidden="false" customHeight="false" outlineLevel="0" collapsed="false">
      <c r="A5" s="0" t="s">
        <v>36</v>
      </c>
      <c r="C5" s="2" t="n">
        <f aca="false">BS!C4-BS!B4</f>
        <v>9.83561643835618</v>
      </c>
      <c r="D5" s="2" t="n">
        <f aca="false">BS!D4-BS!C4</f>
        <v>8.38849315068494</v>
      </c>
      <c r="E5" s="2" t="n">
        <f aca="false">BS!E4-BS!D4</f>
        <v>7.69344657534248</v>
      </c>
    </row>
    <row r="6" customFormat="false" ht="12.8" hidden="false" customHeight="false" outlineLevel="0" collapsed="false">
      <c r="A6" s="0" t="s">
        <v>37</v>
      </c>
      <c r="C6" s="2" t="n">
        <f aca="false">C3+C4-C5</f>
        <v>234.616383561644</v>
      </c>
      <c r="D6" s="2" t="n">
        <f aca="false">D3+D4-D5</f>
        <v>266.167282849315</v>
      </c>
      <c r="E6" s="2" t="n">
        <f aca="false">E3+E4-E5</f>
        <v>294.734168544658</v>
      </c>
    </row>
    <row r="7" customFormat="false" ht="12.8" hidden="false" customHeight="false" outlineLevel="0" collapsed="false">
      <c r="A7" s="0" t="s">
        <v>8</v>
      </c>
      <c r="C7" s="2" t="n">
        <f aca="false">-Inputs!$B$10</f>
        <v>-60</v>
      </c>
      <c r="D7" s="2" t="n">
        <f aca="false">-Inputs!$B$10</f>
        <v>-60</v>
      </c>
      <c r="E7" s="2" t="n">
        <f aca="false">-Inputs!$B$10</f>
        <v>-60</v>
      </c>
    </row>
    <row r="8" customFormat="false" ht="12.8" hidden="false" customHeight="false" outlineLevel="0" collapsed="false">
      <c r="A8" s="0" t="s">
        <v>38</v>
      </c>
      <c r="C8" s="2" t="n">
        <f aca="false">-MIN(Inputs!$B$11,BS!B7)</f>
        <v>-25</v>
      </c>
      <c r="D8" s="2" t="n">
        <f aca="false">-MIN(Inputs!$B$11,BS!C7)</f>
        <v>-25</v>
      </c>
      <c r="E8" s="2" t="n">
        <f aca="false">-MIN(Inputs!$B$11,BS!D7)</f>
        <v>-25</v>
      </c>
    </row>
    <row r="9" customFormat="false" ht="12.8" hidden="false" customHeight="false" outlineLevel="0" collapsed="false">
      <c r="A9" s="0" t="s">
        <v>39</v>
      </c>
      <c r="C9" s="2" t="n">
        <f aca="false">SUM(C6:C8)</f>
        <v>149.616383561644</v>
      </c>
      <c r="D9" s="2" t="n">
        <f aca="false">SUM(D6:D8)</f>
        <v>181.167282849315</v>
      </c>
      <c r="E9" s="2" t="n">
        <f aca="false">SUM(E6:E8)</f>
        <v>209.734168544658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LibreOffice/26.8.2.2$MacOSX_AARCH64 LibreOffice_project/9dea406ab7695df6325b11b0e19fdca8db4b7276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