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DCF" sheetId="2" state="visible" r:id="rId4"/>
  </sheets>
  <definedNames>
    <definedName function="false" hidden="false" name="Growth" vbProcedure="false">Assumptions!$B$4</definedName>
    <definedName function="false" hidden="false" name="Margin" vbProcedure="false">Assumptions!$B$5</definedName>
    <definedName function="false" hidden="false" name="TaxRate" vbProcedure="false">Assumptions!$B$6</definedName>
    <definedName function="false" hidden="false" name="WACC" vbProcedure="false">Assumptions!$B$10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<sst xmlns="http://schemas.openxmlformats.org/spreadsheetml/2006/main" count="36" uniqueCount="36">
  <si>
    <t xml:space="preserve">Assumptions</t>
  </si>
  <si>
    <t xml:space="preserve">Value</t>
  </si>
  <si>
    <t xml:space="preserve">Revenue 2024</t>
  </si>
  <si>
    <t xml:space="preserve">Revenue growth</t>
  </si>
  <si>
    <t xml:space="preserve">EBITDA margin</t>
  </si>
  <si>
    <t xml:space="preserve">Tax rate</t>
  </si>
  <si>
    <t xml:space="preserve">D&amp;A % of revenue</t>
  </si>
  <si>
    <t xml:space="preserve">Capex % of revenue</t>
  </si>
  <si>
    <t xml:space="preserve">NWC % of revenue</t>
  </si>
  <si>
    <t xml:space="preserve">WACC</t>
  </si>
  <si>
    <t xml:space="preserve">Terminal growth</t>
  </si>
  <si>
    <t xml:space="preserve">Net debt</t>
  </si>
  <si>
    <t xml:space="preserve">Shares outstanding</t>
  </si>
  <si>
    <t xml:space="preserve">Valuation date</t>
  </si>
  <si>
    <t xml:space="preserve">DCF ($m)</t>
  </si>
  <si>
    <t xml:space="preserve">Year</t>
  </si>
  <si>
    <t xml:space="preserve">Revenue</t>
  </si>
  <si>
    <t xml:space="preserve">EBITDA</t>
  </si>
  <si>
    <t xml:space="preserve">D&amp;A</t>
  </si>
  <si>
    <t xml:space="preserve">EBIT</t>
  </si>
  <si>
    <t xml:space="preserve">Taxes</t>
  </si>
  <si>
    <t xml:space="preserve">NOPAT</t>
  </si>
  <si>
    <t xml:space="preserve">Capex</t>
  </si>
  <si>
    <t xml:space="preserve">Change in NWC</t>
  </si>
  <si>
    <t xml:space="preserve">Free cash flow</t>
  </si>
  <si>
    <t xml:space="preserve">Discount factor</t>
  </si>
  <si>
    <t xml:space="preserve">PV of free cash flow</t>
  </si>
  <si>
    <t xml:space="preserve">Sum of PV</t>
  </si>
  <si>
    <t xml:space="preserve">Terminal value</t>
  </si>
  <si>
    <t xml:space="preserve">PV of terminal value</t>
  </si>
  <si>
    <t xml:space="preserve">Enterprise value</t>
  </si>
  <si>
    <t xml:space="preserve">Equity value</t>
  </si>
  <si>
    <t xml:space="preserve">Value per share</t>
  </si>
  <si>
    <t xml:space="preserve">NPV of free cash flow</t>
  </si>
  <si>
    <t xml:space="preserve">EV / EBITDA 2025</t>
  </si>
  <si>
    <t xml:space="preserve">Exit year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</si>
</sst>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.0%"/>
    <numFmt numFmtId="167" formatCode="yyyy\-mm\-dd"/>
    <numFmt numFmtId="168" formatCode="0.0\x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3" customFormat="false" ht="12.8" hidden="false" customHeight="false" outlineLevel="0" collapsed="false">
      <c r="A3" s="0" t="s">
        <v>2</v>
      </c>
      <c r="B3" s="1" t="n">
        <v>1000</v>
      </c>
    </row>
    <row r="4" customFormat="false" ht="12.8" hidden="false" customHeight="false" outlineLevel="0" collapsed="false">
      <c r="A4" s="0" t="s">
        <v>3</v>
      </c>
      <c r="B4" s="2" t="n">
        <v>0.05</v>
      </c>
    </row>
    <row r="5" customFormat="false" ht="12.8" hidden="false" customHeight="false" outlineLevel="0" collapsed="false">
      <c r="A5" s="0" t="s">
        <v>4</v>
      </c>
      <c r="B5" s="2" t="n">
        <v>0.22</v>
      </c>
    </row>
    <row r="6" customFormat="false" ht="12.8" hidden="false" customHeight="false" outlineLevel="0" collapsed="false">
      <c r="A6" s="0" t="s">
        <v>5</v>
      </c>
      <c r="B6" s="2" t="n">
        <v>0.25</v>
      </c>
    </row>
    <row r="7" customFormat="false" ht="12.8" hidden="false" customHeight="false" outlineLevel="0" collapsed="false">
      <c r="A7" s="0" t="s">
        <v>6</v>
      </c>
      <c r="B7" s="2" t="n">
        <v>0.03</v>
      </c>
    </row>
    <row r="8" customFormat="false" ht="12.8" hidden="false" customHeight="false" outlineLevel="0" collapsed="false">
      <c r="A8" s="0" t="s">
        <v>7</v>
      </c>
      <c r="B8" s="2" t="n">
        <v>0.04</v>
      </c>
    </row>
    <row r="9" customFormat="false" ht="12.8" hidden="false" customHeight="false" outlineLevel="0" collapsed="false">
      <c r="A9" s="0" t="s">
        <v>8</v>
      </c>
      <c r="B9" s="2" t="n">
        <v>0.1</v>
      </c>
    </row>
    <row r="10" customFormat="false" ht="12.8" hidden="false" customHeight="false" outlineLevel="0" collapsed="false">
      <c r="A10" s="0" t="s">
        <v>9</v>
      </c>
      <c r="B10" s="2" t="n">
        <v>0.09</v>
      </c>
    </row>
    <row r="11" customFormat="false" ht="12.8" hidden="false" customHeight="false" outlineLevel="0" collapsed="false">
      <c r="A11" s="0" t="s">
        <v>10</v>
      </c>
      <c r="B11" s="2" t="n">
        <v>0.025</v>
      </c>
    </row>
    <row r="12" customFormat="false" ht="12.8" hidden="false" customHeight="false" outlineLevel="0" collapsed="false">
      <c r="A12" s="0" t="s">
        <v>11</v>
      </c>
      <c r="B12" s="1" t="n">
        <v>350</v>
      </c>
    </row>
    <row r="13" customFormat="false" ht="12.8" hidden="false" customHeight="false" outlineLevel="0" collapsed="false">
      <c r="A13" s="0" t="s">
        <v>12</v>
      </c>
      <c r="B13" s="1" t="n">
        <v>100</v>
      </c>
    </row>
    <row r="14" customFormat="false" ht="12.8" hidden="false" customHeight="false" outlineLevel="0" collapsed="false">
      <c r="A14" s="0" t="s">
        <v>13</v>
      </c>
      <c r="B14" s="3" t="n">
        <v>45657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14</v>
      </c>
    </row>
    <row r="3" customFormat="false" ht="12.8" hidden="false" customHeight="false" outlineLevel="0" collapsed="false">
      <c r="A3" s="0" t="s">
        <v>15</v>
      </c>
      <c r="B3" s="0" t="n">
        <v>2024</v>
      </c>
      <c r="C3" s="0" t="n">
        <f aca="false">B3+1</f>
        <v>2025</v>
      </c>
      <c r="D3" s="0" t="n">
        <f aca="false">C3+1</f>
        <v>2026</v>
      </c>
      <c r="E3" s="0" t="n">
        <f aca="false">D3+1</f>
        <v>2027</v>
      </c>
      <c r="F3" s="0" t="n">
        <f aca="false">E3+1</f>
        <v>2028</v>
      </c>
      <c r="G3" s="0" t="n">
        <f aca="false">F3+1</f>
        <v>2029</v>
      </c>
    </row>
    <row r="4" customFormat="false" ht="12.8" hidden="false" customHeight="false" outlineLevel="0" collapsed="false">
      <c r="A4" s="0" t="s">
        <v>16</v>
      </c>
      <c r="B4" s="1" t="n">
        <f aca="false">Assumptions!B3</f>
        <v>1000</v>
      </c>
      <c r="C4" s="1" t="n">
        <f aca="false">B4*(1+Growth)</f>
        <v>1050</v>
      </c>
      <c r="D4" s="1" t="n">
        <f aca="false">C4*(1+Growth)</f>
        <v>1102.5</v>
      </c>
      <c r="E4" s="1" t="n">
        <f aca="false">D4*(1+Growth)</f>
        <v>1157.625</v>
      </c>
      <c r="F4" s="1" t="n">
        <f aca="false">E4*(1+Growth)</f>
        <v>1215.50625</v>
      </c>
      <c r="G4" s="1" t="n">
        <f aca="false">F4*(1+Growth)</f>
        <v>1276.2815625</v>
      </c>
    </row>
    <row r="5" customFormat="false" ht="12.8" hidden="false" customHeight="false" outlineLevel="0" collapsed="false">
      <c r="A5" s="0" t="s">
        <v>17</v>
      </c>
      <c r="C5" s="1" t="n">
        <f aca="false">C4*Margin</f>
        <v>231</v>
      </c>
      <c r="D5" s="1" t="n">
        <f aca="false">D4*Margin</f>
        <v>242.55</v>
      </c>
      <c r="E5" s="1" t="n">
        <f aca="false">E4*Margin</f>
        <v>254.6775</v>
      </c>
      <c r="F5" s="1" t="n">
        <f aca="false">F4*Margin</f>
        <v>267.411375</v>
      </c>
      <c r="G5" s="1" t="n">
        <f aca="false">G4*Margin</f>
        <v>280.78194375</v>
      </c>
    </row>
    <row r="6" customFormat="false" ht="12.8" hidden="false" customHeight="false" outlineLevel="0" collapsed="false">
      <c r="A6" s="0" t="s">
        <v>18</v>
      </c>
      <c r="C6" s="1" t="n">
        <f aca="false">C4*Assumptions!$B$7</f>
        <v>31.5</v>
      </c>
      <c r="D6" s="1" t="n">
        <f aca="false">D4*Assumptions!$B$7</f>
        <v>33.075</v>
      </c>
      <c r="E6" s="1" t="n">
        <f aca="false">E4*Assumptions!$B$7</f>
        <v>34.72875</v>
      </c>
      <c r="F6" s="1" t="n">
        <f aca="false">F4*Assumptions!$B$7</f>
        <v>36.4651875</v>
      </c>
      <c r="G6" s="1" t="n">
        <f aca="false">G4*Assumptions!$B$7</f>
        <v>38.288446875</v>
      </c>
    </row>
    <row r="7" customFormat="false" ht="12.8" hidden="false" customHeight="false" outlineLevel="0" collapsed="false">
      <c r="A7" s="0" t="s">
        <v>19</v>
      </c>
      <c r="C7" s="1" t="n">
        <f aca="false">C5-C6</f>
        <v>199.5</v>
      </c>
      <c r="D7" s="1" t="n">
        <f aca="false">D5-D6</f>
        <v>209.475</v>
      </c>
      <c r="E7" s="1" t="n">
        <f aca="false">E5-E6</f>
        <v>219.94875</v>
      </c>
      <c r="F7" s="1" t="n">
        <f aca="false">F5-F6</f>
        <v>230.9461875</v>
      </c>
      <c r="G7" s="1" t="n">
        <f aca="false">G5-G6</f>
        <v>242.493496875</v>
      </c>
    </row>
    <row r="8" customFormat="false" ht="12.8" hidden="false" customHeight="false" outlineLevel="0" collapsed="false">
      <c r="A8" s="0" t="s">
        <v>20</v>
      </c>
      <c r="C8" s="1" t="n">
        <f aca="false">MAX(0,C7*TaxRate)</f>
        <v>49.875</v>
      </c>
      <c r="D8" s="1" t="n">
        <f aca="false">MAX(0,D7*TaxRate)</f>
        <v>52.36875</v>
      </c>
      <c r="E8" s="1" t="n">
        <f aca="false">MAX(0,E7*TaxRate)</f>
        <v>54.9871875</v>
      </c>
      <c r="F8" s="1" t="n">
        <f aca="false">MAX(0,F7*TaxRate)</f>
        <v>57.736546875</v>
      </c>
      <c r="G8" s="1" t="n">
        <f aca="false">MAX(0,G7*TaxRate)</f>
        <v>60.62337421875</v>
      </c>
    </row>
    <row r="9" customFormat="false" ht="12.8" hidden="false" customHeight="false" outlineLevel="0" collapsed="false">
      <c r="A9" s="0" t="s">
        <v>21</v>
      </c>
      <c r="C9" s="1" t="n">
        <f aca="false">C7-C8</f>
        <v>149.625</v>
      </c>
      <c r="D9" s="1" t="n">
        <f aca="false">D7-D8</f>
        <v>157.10625</v>
      </c>
      <c r="E9" s="1" t="n">
        <f aca="false">E7-E8</f>
        <v>164.9615625</v>
      </c>
      <c r="F9" s="1" t="n">
        <f aca="false">F7-F8</f>
        <v>173.209640625</v>
      </c>
      <c r="G9" s="1" t="n">
        <f aca="false">G7-G8</f>
        <v>181.87012265625</v>
      </c>
    </row>
    <row r="10" customFormat="false" ht="12.8" hidden="false" customHeight="false" outlineLevel="0" collapsed="false">
      <c r="A10" s="0" t="s">
        <v>22</v>
      </c>
      <c r="C10" s="1" t="n">
        <f aca="false">C4*Assumptions!$B$8</f>
        <v>42</v>
      </c>
      <c r="D10" s="1" t="n">
        <f aca="false">D4*Assumptions!$B$8</f>
        <v>44.1</v>
      </c>
      <c r="E10" s="1" t="n">
        <f aca="false">E4*Assumptions!$B$8</f>
        <v>46.305</v>
      </c>
      <c r="F10" s="1" t="n">
        <f aca="false">F4*Assumptions!$B$8</f>
        <v>48.62025</v>
      </c>
      <c r="G10" s="1" t="n">
        <f aca="false">G4*Assumptions!$B$8</f>
        <v>51.0512625</v>
      </c>
    </row>
    <row r="11" customFormat="false" ht="12.8" hidden="false" customHeight="false" outlineLevel="0" collapsed="false">
      <c r="A11" s="0" t="s">
        <v>23</v>
      </c>
      <c r="C11" s="1" t="n">
        <f aca="false">(C4-B4)*Assumptions!$B$9</f>
        <v>5</v>
      </c>
      <c r="D11" s="1" t="n">
        <f aca="false">(D4-C4)*Assumptions!$B$9</f>
        <v>5.25</v>
      </c>
      <c r="E11" s="1" t="n">
        <f aca="false">(E4-D4)*Assumptions!$B$9</f>
        <v>5.5125</v>
      </c>
      <c r="F11" s="1" t="n">
        <f aca="false">(F4-E4)*Assumptions!$B$9</f>
        <v>5.78812500000001</v>
      </c>
      <c r="G11" s="1" t="n">
        <f aca="false">(G4-F4)*Assumptions!$B$9</f>
        <v>6.07753125000002</v>
      </c>
    </row>
    <row r="12" customFormat="false" ht="12.8" hidden="false" customHeight="false" outlineLevel="0" collapsed="false">
      <c r="A12" s="0" t="s">
        <v>24</v>
      </c>
      <c r="C12" s="1" t="n">
        <f aca="false">C9+C6-C10-C11</f>
        <v>134.125</v>
      </c>
      <c r="D12" s="1" t="n">
        <f aca="false">D9+D6-D10-D11</f>
        <v>140.83125</v>
      </c>
      <c r="E12" s="1" t="n">
        <f aca="false">E9+E6-E10-E11</f>
        <v>147.8728125</v>
      </c>
      <c r="F12" s="1" t="n">
        <f aca="false">F9+F6-F10-F11</f>
        <v>155.266453125</v>
      </c>
      <c r="G12" s="1" t="n">
        <f aca="false">G9+G6-G10-G11</f>
        <v>163.02977578125</v>
      </c>
    </row>
    <row r="13" customFormat="false" ht="12.8" hidden="false" customHeight="false" outlineLevel="0" collapsed="false">
      <c r="A13" s="0" t="s">
        <v>25</v>
      </c>
      <c r="C13" s="0" t="n">
        <f aca="false">1/(1+WACC)^(C3-$B$3)</f>
        <v>0.91743119266055</v>
      </c>
      <c r="D13" s="0" t="n">
        <f aca="false">1/(1+WACC)^(D3-$B$3)</f>
        <v>0.84167999326656</v>
      </c>
      <c r="E13" s="0" t="n">
        <f aca="false">1/(1+WACC)^(E3-$B$3)</f>
        <v>0.772183480061064</v>
      </c>
      <c r="F13" s="0" t="n">
        <f aca="false">1/(1+WACC)^(F3-$B$3)</f>
        <v>0.708425211065196</v>
      </c>
      <c r="G13" s="0" t="n">
        <f aca="false">1/(1+WACC)^(G3-$B$3)</f>
        <v>0.649931386298345</v>
      </c>
    </row>
    <row r="14" customFormat="false" ht="12.8" hidden="false" customHeight="false" outlineLevel="0" collapsed="false">
      <c r="A14" s="0" t="s">
        <v>26</v>
      </c>
      <c r="C14" s="1" t="n">
        <f aca="false">C12*C13</f>
        <v>123.050458715596</v>
      </c>
      <c r="D14" s="1" t="n">
        <f aca="false">D12*D13</f>
        <v>118.534845551721</v>
      </c>
      <c r="E14" s="1" t="n">
        <f aca="false">E12*E13</f>
        <v>114.184942962667</v>
      </c>
      <c r="F14" s="1" t="n">
        <f aca="false">F12*F13</f>
        <v>109.994669826423</v>
      </c>
      <c r="G14" s="1" t="n">
        <f aca="false">G12*G13</f>
        <v>105.958168181416</v>
      </c>
    </row>
    <row r="16" customFormat="false" ht="12.8" hidden="false" customHeight="false" outlineLevel="0" collapsed="false">
      <c r="A16" s="0" t="s">
        <v>27</v>
      </c>
      <c r="B16" s="1" t="n">
        <f aca="false">SUM(C14:G14)</f>
        <v>571.723085237824</v>
      </c>
    </row>
    <row r="17" customFormat="false" ht="12.8" hidden="false" customHeight="false" outlineLevel="0" collapsed="false">
      <c r="A17" s="0" t="s">
        <v>28</v>
      </c>
      <c r="B17" s="1" t="n">
        <f aca="false">G12*(1+Assumptions!B11)/(WACC-Assumptions!B11)</f>
        <v>2570.85415655048</v>
      </c>
    </row>
    <row r="18" customFormat="false" ht="12.8" hidden="false" customHeight="false" outlineLevel="0" collapsed="false">
      <c r="A18" s="0" t="s">
        <v>29</v>
      </c>
      <c r="B18" s="1" t="n">
        <f aca="false">B17*G13</f>
        <v>1670.87880593772</v>
      </c>
    </row>
    <row r="19" customFormat="false" ht="12.8" hidden="false" customHeight="false" outlineLevel="0" collapsed="false">
      <c r="A19" s="0" t="s">
        <v>30</v>
      </c>
      <c r="B19" s="1" t="n">
        <f aca="false">B16+B18</f>
        <v>2242.60189117554</v>
      </c>
    </row>
    <row r="20" customFormat="false" ht="12.8" hidden="false" customHeight="false" outlineLevel="0" collapsed="false">
      <c r="A20" s="0" t="s">
        <v>31</v>
      </c>
      <c r="B20" s="1" t="n">
        <f aca="false">B19-Assumptions!B12</f>
        <v>1892.60189117554</v>
      </c>
    </row>
    <row r="21" customFormat="false" ht="12.8" hidden="false" customHeight="false" outlineLevel="0" collapsed="false">
      <c r="A21" s="0" t="s">
        <v>32</v>
      </c>
      <c r="B21" s="1" t="n">
        <f aca="false">ROUND(B20/Assumptions!B13,2)</f>
        <v>18.93</v>
      </c>
    </row>
    <row r="22" customFormat="false" ht="12.8" hidden="false" customHeight="false" outlineLevel="0" collapsed="false">
      <c r="A22" s="0" t="s">
        <v>33</v>
      </c>
      <c r="B22" s="1" t="n">
        <f aca="false">NPV(WACC,C12:G12)</f>
        <v>571.723085237824</v>
      </c>
    </row>
    <row r="23" customFormat="false" ht="12.8" hidden="false" customHeight="false" outlineLevel="0" collapsed="false">
      <c r="A23" s="0" t="s">
        <v>34</v>
      </c>
      <c r="B23" s="4" t="n">
        <f aca="false">B19/C5</f>
        <v>9.70823329513221</v>
      </c>
    </row>
    <row r="24" customFormat="false" ht="12.8" hidden="false" customHeight="false" outlineLevel="0" collapsed="false">
      <c r="A24" s="0" t="s">
        <v>35</v>
      </c>
      <c r="B24" s="0" t="n">
        <f aca="false">YEAR(Assumptions!B14)+5</f>
        <v>2029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LibreOffice/26.8.2.2$MacOSX_AARCH64 LibreOffice_project/9dea406ab7695df6325b11b0e19fdca8db4b7276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