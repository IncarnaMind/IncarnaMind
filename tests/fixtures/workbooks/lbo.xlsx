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BO" sheetId="1" state="visible" r:id="rId3"/>
  </sheets>
  <definedNames>
    <definedName function="false" hidden="false" name="ExitMultiple" vbProcedure="false">LBO!$B$8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<sst xmlns="http://schemas.openxmlformats.org/spreadsheetml/2006/main" count="31" uniqueCount="31">
  <si>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LBO ($m)</t>
  </si>
  <si>
    <t xml:space="preserve">Entry EBITDA</t>
  </si>
  <si>
    <t xml:space="preserve">Entry multiple</t>
  </si>
  <si>
    <t xml:space="preserve">Debt / EBITDA</t>
  </si>
  <si>
    <t xml:space="preserve">Interest rate</t>
  </si>
  <si>
    <t xml:space="preserve">EBITDA growth</t>
  </si>
  <si>
    <t xml:space="preserve">Exit multiple</t>
  </si>
  <si>
    <t xml:space="preserve">Tax rate</t>
  </si>
  <si>
    <t xml:space="preserve">Capex % of EBITDA</t>
  </si>
  <si>
    <t xml:space="preserve">Cash sweep</t>
  </si>
  <si>
    <t xml:space="preserve">Close date</t>
  </si>
  <si>
    <t xml:space="preserve">Entry EV</t>
  </si>
  <si>
    <t xml:space="preserve">Entry debt</t>
  </si>
  <si>
    <t xml:space="preserve">Sponsor equity</t>
  </si>
  <si>
    <t xml:space="preserve">Year</t>
  </si>
  <si>
    <t xml:space="preserve">Date</t>
  </si>
  <si>
    <t xml:space="preserve">EBITDA</t>
  </si>
  <si>
    <t xml:space="preserve">Interest</t>
  </si>
  <si>
    <t xml:space="preserve">Taxes</t>
  </si>
  <si>
    <t xml:space="preserve">Capex</t>
  </si>
  <si>
    <t xml:space="preserve">Free cash flow</t>
  </si>
  <si>
    <t xml:space="preserve">Debt repaid</t>
  </si>
  <si>
    <t xml:space="preserve">Debt</t>
  </si>
  <si>
    <t xml:space="preserve">Exit EV</t>
  </si>
  <si>
    <t xml:space="preserve">Exit equity</t>
  </si>
  <si>
    <t xml:space="preserve">MOIC</t>
  </si>
  <si>
    <t xml:space="preserve">Sponsor cash flows</t>
  </si>
  <si>
    <t xml:space="preserve">IRR</t>
  </si>
  <si>
    <t xml:space="preserve">XIRR</t>
  </si>
  <si>
    <t xml:space="preserve">Term loan payment</t>
  </si>
  <si>
    <t xml:space="preserve">Deal check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</si>
</sst>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\x"/>
    <numFmt numFmtId="167" formatCode="0.0%"/>
    <numFmt numFmtId="168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1" t="n">
        <v>100</v>
      </c>
    </row>
    <row r="4" customFormat="false" ht="12.8" hidden="false" customHeight="false" outlineLevel="0" collapsed="false">
      <c r="A4" s="0" t="s">
        <v>2</v>
      </c>
      <c r="B4" s="2" t="n">
        <v>8</v>
      </c>
    </row>
    <row r="5" customFormat="false" ht="12.8" hidden="false" customHeight="false" outlineLevel="0" collapsed="false">
      <c r="A5" s="0" t="s">
        <v>3</v>
      </c>
      <c r="B5" s="2" t="n">
        <v>5</v>
      </c>
    </row>
    <row r="6" customFormat="false" ht="12.8" hidden="false" customHeight="false" outlineLevel="0" collapsed="false">
      <c r="A6" s="0" t="s">
        <v>4</v>
      </c>
      <c r="B6" s="3" t="n">
        <v>0.08</v>
      </c>
    </row>
    <row r="7" customFormat="false" ht="12.8" hidden="false" customHeight="false" outlineLevel="0" collapsed="false">
      <c r="A7" s="0" t="s">
        <v>5</v>
      </c>
      <c r="B7" s="3" t="n">
        <v>0.06</v>
      </c>
    </row>
    <row r="8" customFormat="false" ht="12.8" hidden="false" customHeight="false" outlineLevel="0" collapsed="false">
      <c r="A8" s="0" t="s">
        <v>6</v>
      </c>
      <c r="B8" s="2" t="n">
        <v>8.5</v>
      </c>
    </row>
    <row r="9" customFormat="false" ht="12.8" hidden="false" customHeight="false" outlineLevel="0" collapsed="false">
      <c r="A9" s="0" t="s">
        <v>7</v>
      </c>
      <c r="B9" s="3" t="n">
        <v>0.25</v>
      </c>
    </row>
    <row r="10" customFormat="false" ht="12.8" hidden="false" customHeight="false" outlineLevel="0" collapsed="false">
      <c r="A10" s="0" t="s">
        <v>8</v>
      </c>
      <c r="B10" s="3" t="n">
        <v>0.15</v>
      </c>
    </row>
    <row r="11" customFormat="false" ht="12.8" hidden="false" customHeight="false" outlineLevel="0" collapsed="false">
      <c r="A11" s="0" t="s">
        <v>9</v>
      </c>
      <c r="B11" s="3" t="n">
        <v>1</v>
      </c>
    </row>
    <row r="12" customFormat="false" ht="12.8" hidden="false" customHeight="false" outlineLevel="0" collapsed="false">
      <c r="A12" s="0" t="s">
        <v>10</v>
      </c>
      <c r="B12" s="4" t="n">
        <v>45657</v>
      </c>
    </row>
    <row r="14" customFormat="false" ht="12.8" hidden="false" customHeight="false" outlineLevel="0" collapsed="false">
      <c r="A14" s="0" t="s">
        <v>11</v>
      </c>
      <c r="B14" s="1" t="n">
        <f aca="false">B3*B4</f>
        <v>800</v>
      </c>
    </row>
    <row r="15" customFormat="false" ht="12.8" hidden="false" customHeight="false" outlineLevel="0" collapsed="false">
      <c r="A15" s="0" t="s">
        <v>12</v>
      </c>
      <c r="B15" s="1" t="n">
        <f aca="false">B3*B5</f>
        <v>500</v>
      </c>
    </row>
    <row r="16" customFormat="false" ht="12.8" hidden="false" customHeight="false" outlineLevel="0" collapsed="false">
      <c r="A16" s="0" t="s">
        <v>13</v>
      </c>
      <c r="B16" s="1" t="n">
        <f aca="false">B14-B15</f>
        <v>300</v>
      </c>
    </row>
    <row r="18" customFormat="false" ht="12.8" hidden="false" customHeight="false" outlineLevel="0" collapsed="false">
      <c r="A18" s="0" t="s">
        <v>14</v>
      </c>
      <c r="B18" s="0" t="n">
        <v>0</v>
      </c>
      <c r="C18" s="0" t="n">
        <f aca="false">B18+1</f>
        <v>1</v>
      </c>
      <c r="D18" s="0" t="n">
        <f aca="false">C18+1</f>
        <v>2</v>
      </c>
      <c r="E18" s="0" t="n">
        <f aca="false">D18+1</f>
        <v>3</v>
      </c>
      <c r="F18" s="0" t="n">
        <f aca="false">E18+1</f>
        <v>4</v>
      </c>
      <c r="G18" s="0" t="n">
        <f aca="false">F18+1</f>
        <v>5</v>
      </c>
    </row>
    <row r="19" customFormat="false" ht="12.8" hidden="false" customHeight="false" outlineLevel="0" collapsed="false">
      <c r="A19" s="0" t="s">
        <v>15</v>
      </c>
      <c r="B19" s="4" t="n">
        <f aca="false">B12</f>
        <v>45657</v>
      </c>
      <c r="C19" s="4" t="n">
        <f aca="false">EOMONTH(B19,12)</f>
        <v>46022</v>
      </c>
      <c r="D19" s="4" t="n">
        <f aca="false">EOMONTH(C19,12)</f>
        <v>46387</v>
      </c>
      <c r="E19" s="4" t="n">
        <f aca="false">EOMONTH(D19,12)</f>
        <v>46752</v>
      </c>
      <c r="F19" s="4" t="n">
        <f aca="false">EOMONTH(E19,12)</f>
        <v>47118</v>
      </c>
      <c r="G19" s="4" t="n">
        <f aca="false">EOMONTH(F19,12)</f>
        <v>47483</v>
      </c>
    </row>
    <row r="20" customFormat="false" ht="12.8" hidden="false" customHeight="false" outlineLevel="0" collapsed="false">
      <c r="A20" s="0" t="s">
        <v>16</v>
      </c>
      <c r="B20" s="1" t="n">
        <f aca="false">B3</f>
        <v>100</v>
      </c>
      <c r="C20" s="1" t="n">
        <f aca="false">B20*(1+$B$7)</f>
        <v>106</v>
      </c>
      <c r="D20" s="1" t="n">
        <f aca="false">C20*(1+$B$7)</f>
        <v>112.36</v>
      </c>
      <c r="E20" s="1" t="n">
        <f aca="false">D20*(1+$B$7)</f>
        <v>119.1016</v>
      </c>
      <c r="F20" s="1" t="n">
        <f aca="false">E20*(1+$B$7)</f>
        <v>126.247696</v>
      </c>
      <c r="G20" s="1" t="n">
        <f aca="false">F20*(1+$B$7)</f>
        <v>133.82255776</v>
      </c>
    </row>
    <row r="21" customFormat="false" ht="12.8" hidden="false" customHeight="false" outlineLevel="0" collapsed="false">
      <c r="A21" s="0" t="s">
        <v>17</v>
      </c>
      <c r="C21" s="1" t="n">
        <f aca="false">B26*$B$6</f>
        <v>40</v>
      </c>
      <c r="D21" s="1" t="n">
        <f aca="false">C26*$B$6</f>
        <v>37.312</v>
      </c>
      <c r="E21" s="1" t="n">
        <f aca="false">D26*$B$6</f>
        <v>34.15744</v>
      </c>
      <c r="F21" s="1" t="n">
        <f aca="false">E26*$B$6</f>
        <v>30.4900096</v>
      </c>
      <c r="G21" s="1" t="n">
        <f aca="false">F26*$B$6</f>
        <v>26.259520768</v>
      </c>
    </row>
    <row r="22" customFormat="false" ht="12.8" hidden="false" customHeight="false" outlineLevel="0" collapsed="false">
      <c r="A22" s="0" t="s">
        <v>18</v>
      </c>
      <c r="C22" s="1" t="n">
        <f aca="false">MAX(0,(C20-C21)*$B$9)</f>
        <v>16.5</v>
      </c>
      <c r="D22" s="1" t="n">
        <f aca="false">MAX(0,(D20-D21)*$B$9)</f>
        <v>18.762</v>
      </c>
      <c r="E22" s="1" t="n">
        <f aca="false">MAX(0,(E20-E21)*$B$9)</f>
        <v>21.23604</v>
      </c>
      <c r="F22" s="1" t="n">
        <f aca="false">MAX(0,(F20-F21)*$B$9)</f>
        <v>23.9394216</v>
      </c>
      <c r="G22" s="1" t="n">
        <f aca="false">MAX(0,(G20-G21)*$B$9)</f>
        <v>26.890759248</v>
      </c>
    </row>
    <row r="23" customFormat="false" ht="12.8" hidden="false" customHeight="false" outlineLevel="0" collapsed="false">
      <c r="A23" s="0" t="s">
        <v>19</v>
      </c>
      <c r="C23" s="1" t="n">
        <f aca="false">C20*$B$10</f>
        <v>15.9</v>
      </c>
      <c r="D23" s="1" t="n">
        <f aca="false">D20*$B$10</f>
        <v>16.854</v>
      </c>
      <c r="E23" s="1" t="n">
        <f aca="false">E20*$B$10</f>
        <v>17.86524</v>
      </c>
      <c r="F23" s="1" t="n">
        <f aca="false">F20*$B$10</f>
        <v>18.9371544</v>
      </c>
      <c r="G23" s="1" t="n">
        <f aca="false">G20*$B$10</f>
        <v>20.073383664</v>
      </c>
    </row>
    <row r="24" customFormat="false" ht="12.8" hidden="false" customHeight="false" outlineLevel="0" collapsed="false">
      <c r="A24" s="0" t="s">
        <v>20</v>
      </c>
      <c r="C24" s="1" t="n">
        <f aca="false">C20-C21-C22-C23</f>
        <v>33.6</v>
      </c>
      <c r="D24" s="1" t="n">
        <f aca="false">D20-D21-D22-D23</f>
        <v>39.432</v>
      </c>
      <c r="E24" s="1" t="n">
        <f aca="false">E20-E21-E22-E23</f>
        <v>45.84288</v>
      </c>
      <c r="F24" s="1" t="n">
        <f aca="false">F20-F21-F22-F23</f>
        <v>52.8811104</v>
      </c>
      <c r="G24" s="1" t="n">
        <f aca="false">G20-G21-G22-G23</f>
        <v>60.59889408</v>
      </c>
    </row>
    <row r="25" customFormat="false" ht="12.8" hidden="false" customHeight="false" outlineLevel="0" collapsed="false">
      <c r="A25" s="0" t="s">
        <v>21</v>
      </c>
      <c r="C25" s="1" t="n">
        <f aca="false">MIN(C24*$B$11,B26)</f>
        <v>33.6</v>
      </c>
      <c r="D25" s="1" t="n">
        <f aca="false">MIN(D24*$B$11,C26)</f>
        <v>39.432</v>
      </c>
      <c r="E25" s="1" t="n">
        <f aca="false">MIN(E24*$B$11,D26)</f>
        <v>45.84288</v>
      </c>
      <c r="F25" s="1" t="n">
        <f aca="false">MIN(F24*$B$11,E26)</f>
        <v>52.8811104</v>
      </c>
      <c r="G25" s="1" t="n">
        <f aca="false">MIN(G24*$B$11,F26)</f>
        <v>60.59889408</v>
      </c>
    </row>
    <row r="26" customFormat="false" ht="12.8" hidden="false" customHeight="false" outlineLevel="0" collapsed="false">
      <c r="A26" s="0" t="s">
        <v>22</v>
      </c>
      <c r="B26" s="1" t="n">
        <f aca="false">B15</f>
        <v>500</v>
      </c>
      <c r="C26" s="1" t="n">
        <f aca="false">B26-C25</f>
        <v>466.4</v>
      </c>
      <c r="D26" s="1" t="n">
        <f aca="false">C26-D25</f>
        <v>426.968</v>
      </c>
      <c r="E26" s="1" t="n">
        <f aca="false">D26-E25</f>
        <v>381.12512</v>
      </c>
      <c r="F26" s="1" t="n">
        <f aca="false">E26-F25</f>
        <v>328.2440096</v>
      </c>
      <c r="G26" s="1" t="n">
        <f aca="false">F26-G25</f>
        <v>267.64511552</v>
      </c>
    </row>
    <row r="28" customFormat="false" ht="12.8" hidden="false" customHeight="false" outlineLevel="0" collapsed="false">
      <c r="A28" s="0" t="s">
        <v>23</v>
      </c>
      <c r="B28" s="1" t="n">
        <f aca="false">G20*ExitMultiple</f>
        <v>1137.49174096</v>
      </c>
    </row>
    <row r="29" customFormat="false" ht="12.8" hidden="false" customHeight="false" outlineLevel="0" collapsed="false">
      <c r="A29" s="0" t="s">
        <v>24</v>
      </c>
      <c r="B29" s="1" t="n">
        <f aca="false">B28-G26</f>
        <v>869.84662544</v>
      </c>
    </row>
    <row r="30" customFormat="false" ht="12.8" hidden="false" customHeight="false" outlineLevel="0" collapsed="false">
      <c r="A30" s="0" t="s">
        <v>25</v>
      </c>
      <c r="B30" s="2" t="n">
        <f aca="false">IFERROR(B29/B16,0)</f>
        <v>2.89948875146667</v>
      </c>
    </row>
    <row r="31" customFormat="false" ht="12.8" hidden="false" customHeight="false" outlineLevel="0" collapsed="false">
      <c r="A31" s="0" t="s">
        <v>26</v>
      </c>
      <c r="B31" s="1" t="n">
        <f aca="false">-B16</f>
        <v>-300</v>
      </c>
      <c r="C31" s="1" t="n">
        <f aca="false">0</f>
        <v>0</v>
      </c>
      <c r="D31" s="1" t="n">
        <f aca="false">0</f>
        <v>0</v>
      </c>
      <c r="E31" s="1" t="n">
        <f aca="false">0</f>
        <v>0</v>
      </c>
      <c r="F31" s="1" t="n">
        <f aca="false">0</f>
        <v>0</v>
      </c>
      <c r="G31" s="1" t="n">
        <f aca="false">B29</f>
        <v>869.84662544</v>
      </c>
    </row>
    <row r="32" customFormat="false" ht="12.8" hidden="false" customHeight="false" outlineLevel="0" collapsed="false">
      <c r="A32" s="0" t="s">
        <v>27</v>
      </c>
      <c r="B32" s="3" t="n">
        <f aca="false">IRR(B31:G31)</f>
        <v>0.237269438489475</v>
      </c>
    </row>
    <row r="33" customFormat="false" ht="12.8" hidden="false" customHeight="false" outlineLevel="0" collapsed="false">
      <c r="A33" s="0" t="s">
        <v>28</v>
      </c>
      <c r="B33" s="3" t="n">
        <f aca="false">XIRR(B31:G31,B19:G19)</f>
        <v>0.237125184477222</v>
      </c>
    </row>
    <row r="34" customFormat="false" ht="12.8" hidden="false" customHeight="false" outlineLevel="0" collapsed="false">
      <c r="A34" s="0" t="s">
        <v>29</v>
      </c>
      <c r="B34" s="1" t="n">
        <f aca="false">PMT($B$6,5,-B15)</f>
        <v>125.228227283418</v>
      </c>
    </row>
    <row r="35" customFormat="false" ht="12.8" hidden="false" customHeight="false" outlineLevel="0" collapsed="false">
      <c r="A35" s="0" t="s">
        <v>30</v>
      </c>
      <c r="B35" s="0" t="str">
        <f aca="false">IF(B32&gt;0.2,"Above hurdle","Below hurdle")</f>
        <v>Above hurdle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LibreOffice/26.8.2.2$MacOSX_AARCH64 LibreOffice_project/9dea406ab7695df6325b11b0e19fdca8db4b7276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